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48acb1371e2bb1/Documents/"/>
    </mc:Choice>
  </mc:AlternateContent>
  <xr:revisionPtr revIDLastSave="2" documentId="8_{215859F9-4C68-4AC1-B79B-7FDF4E3C4439}" xr6:coauthVersionLast="47" xr6:coauthVersionMax="47" xr10:uidLastSave="{708936E8-263C-4C4F-B0C8-BA671437FE73}"/>
  <bookViews>
    <workbookView xWindow="-110" yWindow="-110" windowWidth="19420" windowHeight="10660" xr2:uid="{BB2F4C19-707A-4C89-ABFB-DB4DE4B6E1F1}"/>
  </bookViews>
  <sheets>
    <sheet name="Inventory Dashboard" sheetId="1" r:id="rId1"/>
    <sheet name="FIFO Ledger" sheetId="2" r:id="rId2"/>
    <sheet name="Product Ma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3" i="2"/>
  <c r="F2" i="2"/>
  <c r="H3" i="1"/>
  <c r="H2" i="1"/>
  <c r="E3" i="1"/>
  <c r="E2" i="1"/>
</calcChain>
</file>

<file path=xl/sharedStrings.xml><?xml version="1.0" encoding="utf-8"?>
<sst xmlns="http://schemas.openxmlformats.org/spreadsheetml/2006/main" count="28" uniqueCount="18">
  <si>
    <t>Item Name</t>
  </si>
  <si>
    <t>Daily Sales</t>
  </si>
  <si>
    <t>Days to Ship</t>
  </si>
  <si>
    <t>Backup Stock</t>
  </si>
  <si>
    <t>REORDER POINT</t>
  </si>
  <si>
    <t>HOW MUCH TO BUY</t>
  </si>
  <si>
    <t>Current Stock</t>
  </si>
  <si>
    <t>NEED TO ORDER?</t>
  </si>
  <si>
    <t>Date</t>
  </si>
  <si>
    <t>Action</t>
  </si>
  <si>
    <t>Quantity</t>
  </si>
  <si>
    <t>Price</t>
  </si>
  <si>
    <t>Total Value</t>
  </si>
  <si>
    <t xml:space="preserve">Bought </t>
  </si>
  <si>
    <t>Product Name</t>
  </si>
  <si>
    <t>Product A</t>
  </si>
  <si>
    <t>Category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</si>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</sst>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EB622-8E14-41C4-BBF8-F7E409333005}" name="Table1" displayName="Table1" ref="A1:H3" totalsRowShown="0" headerRowDxfId="3">
  <autoFilter ref="A1:H3" xr:uid="{C5FEB622-8E14-41C4-BBF8-F7E409333005}"/>
  <tableColumns count="8">
    <tableColumn id="1" xr3:uid="{5841E5C8-4BDD-451D-9CED-04DF69D0E7CB}" name="Item Name"/>
    <tableColumn id="2" xr3:uid="{F6164233-FF06-497C-8490-4D00ECCDEE1A}" name="Daily Sales"/>
    <tableColumn id="3" xr3:uid="{6C695BE7-7419-4D13-8F11-CAD52D125509}" name="Days to Ship"/>
    <tableColumn id="4" xr3:uid="{3EEF6230-8EAA-4FD2-A48C-28FF3EE16D9D}" name="Backup Stock"/>
    <tableColumn id="5" xr3:uid="{5315DBF1-2D28-4B70-BEC5-47A95822CC7A}" name="REORDER POINT">
      <calculatedColumnFormula>B2*C2+D2</calculatedColumnFormula>
    </tableColumn>
    <tableColumn id="6" xr3:uid="{FC05F93C-ADCF-477A-AA3A-E279BBB010EC}" name="HOW MUCH TO BUY"/>
    <tableColumn id="7" xr3:uid="{B6B54FB1-E220-49E8-A290-50FCD909EEE1}" name="Current Stock"/>
    <tableColumn id="8" xr3:uid="{1BBA3B21-76A1-4F72-B046-2515767173FA}" name="NEED TO ORDER?">
      <calculatedColumnFormula>IF(G2&lt;=E2,"YES","NO")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1ECDC2-25BC-41EC-83DB-51C826FD4857}" name="tbl_FIFO_Ledger" displayName="tbl_FIFO_Ledger" ref="A1:F4" totalsRowShown="0" headerRowDxfId="2">
  <autoFilter ref="A1:F4" xr:uid="{651ECDC2-25BC-41EC-83DB-51C826FD4857}"/>
  <tableColumns count="6">
    <tableColumn id="1" xr3:uid="{CD8C3D5F-00BF-49FC-9A10-8634C7134A98}" name="Date" dataDxfId="1"/>
    <tableColumn id="2" xr3:uid="{08B92B32-5118-45A9-8481-B0255A49E558}" name="Action"/>
    <tableColumn id="3" xr3:uid="{12232584-0E43-4746-B688-0498474ADC24}" name="Product Name"/>
    <tableColumn id="4" xr3:uid="{A8AA793A-EFA6-4911-A1E6-D014D11D69C8}" name="Quantity"/>
    <tableColumn id="5" xr3:uid="{07F81B86-D6E9-4E6A-8F88-7AABD58F7573}" name="Price"/>
    <tableColumn id="6" xr3:uid="{576A8933-CE03-4E62-87AF-FB1D32F1793F}" name="Total Value">
      <calculatedColumnFormula>D2*E2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CC174F-3F04-4E20-81DC-07B5B7718507}" name="tbl_Product_Master" displayName="tbl_Product_Master" ref="A1:C2" totalsRowShown="0" headerRowDxfId="0">
  <autoFilter ref="A1:C2" xr:uid="{08CC174F-3F04-4E20-81DC-07B5B7718507}"/>
  <tableColumns count="3">
    <tableColumn id="1" xr3:uid="{D7FB2542-FE83-4933-B27F-E670261B93CB}" name="Product Name"/>
    <tableColumn id="2" xr3:uid="{DFB6C91B-F27A-426E-B77C-BB3396B52CB8}" name="Category"/>
    <tableColumn id="3" xr3:uid="{A0906360-7A5D-4359-A0AA-4B63D4CCFDB0}" name="Sup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F07F-42D1-42CE-8E11-51752B75F308}">
  <dimension ref="A1:H3"/>
  <sheetViews>
    <sheetView tabSelected="1" workbookViewId="0">
      <selection activeCell="D21" sqref="D21"/>
    </sheetView>
  </sheetViews>
  <sheetFormatPr defaultRowHeight="14.5" x14ac:dyDescent="0.35"/>
  <cols>
    <col min="1" max="1" width="11.90625" customWidth="1"/>
    <col min="2" max="2" width="12" customWidth="1"/>
    <col min="3" max="3" width="13.08984375" customWidth="1"/>
    <col min="4" max="4" width="14.1796875" customWidth="1"/>
    <col min="5" max="5" width="16.36328125" customWidth="1"/>
    <col min="6" max="6" width="19" customWidth="1"/>
    <col min="7" max="7" width="14.26953125" customWidth="1"/>
    <col min="8" max="8" width="17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15</v>
      </c>
      <c r="B2">
        <v>4</v>
      </c>
      <c r="C2">
        <v>5</v>
      </c>
      <c r="D2">
        <v>15</v>
      </c>
      <c r="E2">
        <f>B2*C2+D2</f>
        <v>35</v>
      </c>
      <c r="F2">
        <v>55</v>
      </c>
      <c r="G2">
        <v>45</v>
      </c>
      <c r="H2" t="str">
        <f>IF(G2&lt;=E2,"YES","NO")</f>
        <v>NO</v>
      </c>
    </row>
    <row r="3" spans="1:8" x14ac:dyDescent="0.35">
      <c r="A3" t="s">
        <v>15</v>
      </c>
      <c r="B3">
        <v>50</v>
      </c>
      <c r="C3">
        <v>10</v>
      </c>
      <c r="D3">
        <v>200</v>
      </c>
      <c r="E3">
        <f>B3*C3+D3</f>
        <v>700</v>
      </c>
      <c r="F3">
        <v>670</v>
      </c>
      <c r="G3">
        <v>850</v>
      </c>
      <c r="H3" t="str">
        <f>IF(G3&lt;=E3,"YES","NO")</f>
        <v>NO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F864-8764-45B8-B574-EC252BA702DE}">
  <dimension ref="A1:G4"/>
  <sheetViews>
    <sheetView workbookViewId="0">
      <selection activeCell="F14" sqref="F14"/>
    </sheetView>
  </sheetViews>
  <sheetFormatPr defaultRowHeight="14.5" x14ac:dyDescent="0.35"/>
  <cols>
    <col min="3" max="3" width="14.6328125" customWidth="1"/>
    <col min="4" max="4" width="10" customWidth="1"/>
    <col min="6" max="6" width="12" customWidth="1"/>
  </cols>
  <sheetData>
    <row r="1" spans="1:7" x14ac:dyDescent="0.35">
      <c r="A1" s="1" t="s">
        <v>8</v>
      </c>
      <c r="B1" s="1" t="s">
        <v>9</v>
      </c>
      <c r="C1" s="1" t="s">
        <v>14</v>
      </c>
      <c r="D1" s="1" t="s">
        <v>10</v>
      </c>
      <c r="E1" s="1" t="s">
        <v>11</v>
      </c>
      <c r="F1" s="1" t="s">
        <v>12</v>
      </c>
      <c r="G1" s="1"/>
    </row>
    <row r="2" spans="1:7" x14ac:dyDescent="0.35">
      <c r="A2" s="2">
        <v>42552</v>
      </c>
      <c r="B2" t="s">
        <v>13</v>
      </c>
      <c r="C2" t="s">
        <v>15</v>
      </c>
      <c r="D2">
        <v>20</v>
      </c>
      <c r="E2">
        <v>8</v>
      </c>
      <c r="F2">
        <f>D2*E2</f>
        <v>160</v>
      </c>
    </row>
    <row r="3" spans="1:7" x14ac:dyDescent="0.35">
      <c r="A3" s="2">
        <v>44013</v>
      </c>
      <c r="B3" t="s">
        <v>13</v>
      </c>
      <c r="C3" t="s">
        <v>15</v>
      </c>
      <c r="D3">
        <v>40</v>
      </c>
      <c r="E3">
        <v>8.1999999999999993</v>
      </c>
      <c r="F3">
        <f>D3*E3</f>
        <v>328</v>
      </c>
    </row>
    <row r="4" spans="1:7" x14ac:dyDescent="0.35">
      <c r="A4" s="2">
        <v>45108</v>
      </c>
      <c r="B4" t="s">
        <v>13</v>
      </c>
      <c r="C4" t="s">
        <v>15</v>
      </c>
      <c r="D4">
        <v>55</v>
      </c>
      <c r="E4">
        <v>8.5</v>
      </c>
      <c r="F4">
        <f>D4*E4</f>
        <v>467.5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A60C-F1D6-4965-ABAC-0BEE0801CBB8}">
  <dimension ref="A1:C2"/>
  <sheetViews>
    <sheetView workbookViewId="0">
      <selection activeCell="F9" sqref="F9"/>
    </sheetView>
  </sheetViews>
  <sheetFormatPr defaultRowHeight="14.5" x14ac:dyDescent="0.35"/>
  <cols>
    <col min="1" max="1" width="14.6328125" customWidth="1"/>
    <col min="2" max="2" width="10.1796875" customWidth="1"/>
    <col min="3" max="3" width="9.90625" customWidth="1"/>
  </cols>
  <sheetData>
    <row r="1" spans="1:3" x14ac:dyDescent="0.35">
      <c r="A1" s="1" t="s">
        <v>14</v>
      </c>
      <c r="B1" s="1" t="s">
        <v>16</v>
      </c>
      <c r="C1" s="1" t="s">
        <v>17</v>
      </c>
    </row>
    <row r="2" spans="1:3" x14ac:dyDescent="0.35">
      <c r="A2" t="s">
        <v>15</v>
      </c>
      <c r="B2" t="s">
        <v>15</v>
      </c>
      <c r="C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Dashboard</vt:lpstr>
      <vt:lpstr>FIFO Ledger</vt:lpstr>
      <vt:lpstr>Product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Peters</dc:creator>
  <cp:lastModifiedBy>Jason Peters</cp:lastModifiedBy>
  <dcterms:created xsi:type="dcterms:W3CDTF">2026-07-16T08:51:59Z</dcterms:created>
  <dcterms:modified xsi:type="dcterms:W3CDTF">2026-07-21T15:42:02Z</dcterms:modified>
</cp:coreProperties>
</file>