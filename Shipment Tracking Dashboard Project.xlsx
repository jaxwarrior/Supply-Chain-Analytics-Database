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48acb1371e2bb1/Documents/"/>
    </mc:Choice>
  </mc:AlternateContent>
  <xr:revisionPtr revIDLastSave="128" documentId="8_{883451D2-B726-4432-B6EA-52AA3BBD42E2}" xr6:coauthVersionLast="47" xr6:coauthVersionMax="47" xr10:uidLastSave="{B601FF3B-A302-40B9-9E69-1B62A4168E3E}"/>
  <bookViews>
    <workbookView xWindow="-110" yWindow="-110" windowWidth="19420" windowHeight="10660" firstSheet="4" activeTab="4" xr2:uid="{7A4BA9AC-409B-45BB-BD13-487D7A6A6C9B}"/>
  </bookViews>
  <sheets>
    <sheet name="Shipment Tracking Dashboard" sheetId="1" r:id="rId1"/>
    <sheet name="Warehouse KPI Dashboard" sheetId="2" r:id="rId2"/>
    <sheet name="Transportation Cost Analysis" sheetId="3" r:id="rId3"/>
    <sheet name="Vendor Performance Dashboard" sheetId="4" r:id="rId4"/>
    <sheet name="Demand Forecast 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 a="1"/>
  <c r="B9" i="5" s="1"/>
  <c r="B8" i="5" a="1"/>
  <c r="B8" i="5" s="1"/>
  <c r="E2" i="4"/>
  <c r="D2" i="4"/>
  <c r="F3" i="3"/>
  <c r="F2" i="3"/>
  <c r="D2" i="2"/>
  <c r="F3" i="1"/>
  <c r="F2" i="1"/>
  <c r="B10" i="5" l="1" a="1"/>
  <c r="B10" i="5" s="1"/>
  <c r="B11" i="5" s="1" a="1"/>
  <c r="B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<sst xmlns="http://schemas.openxmlformats.org/spreadsheetml/2006/main" count="34" uniqueCount="33">
  <si>
    <t>Order ID</t>
  </si>
  <si>
    <t>Carrier</t>
  </si>
  <si>
    <t>Status</t>
  </si>
  <si>
    <t>Est. Delivery Date</t>
  </si>
  <si>
    <t>Actual Delivery Date</t>
  </si>
  <si>
    <t>Days Delayed</t>
  </si>
  <si>
    <t>ORD-101</t>
  </si>
  <si>
    <t>Fedex</t>
  </si>
  <si>
    <t>Delivered</t>
  </si>
  <si>
    <t>ORD-102</t>
  </si>
  <si>
    <t>DHL</t>
  </si>
  <si>
    <t>In Transit</t>
  </si>
  <si>
    <t>Date</t>
  </si>
  <si>
    <t>Total Orders Picked</t>
  </si>
  <si>
    <t>Picking Errors</t>
  </si>
  <si>
    <t>PICKING ACCURACY</t>
  </si>
  <si>
    <t>Destination</t>
  </si>
  <si>
    <t>Shipping Mode</t>
  </si>
  <si>
    <t>Base Cost</t>
  </si>
  <si>
    <t>Fuel Surcharges</t>
  </si>
  <si>
    <t>TOTAL FREIGHT COST</t>
  </si>
  <si>
    <t>Las Vegas</t>
  </si>
  <si>
    <t>Air</t>
  </si>
  <si>
    <t>Wyoming</t>
  </si>
  <si>
    <t>Truck</t>
  </si>
  <si>
    <t>Supplier Name</t>
  </si>
  <si>
    <t>Orders Placed</t>
  </si>
  <si>
    <t>Orders On-Time</t>
  </si>
  <si>
    <t>ON-TIME RATE</t>
  </si>
  <si>
    <t>SUPPLIER GRADE</t>
  </si>
  <si>
    <t xml:space="preserve">The Brisk Morning Coffee Company </t>
  </si>
  <si>
    <t>Month</t>
  </si>
  <si>
    <t>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</si>
</sst>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'Transportation Cost Analysis'!$D$1</c:f>
              <c:strCache>
                <c:ptCount val="1"/>
                <c:pt idx="0">
                  <c:v>Base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'Transportation Cost Analysis'!$A$2:$C$3</c:f>
              <c:multiLvlStrCache>
                <c:ptCount val="2"/>
                <c:lvl>
                  <c:pt idx="0">
                    <c:v>Air</c:v>
                  </c:pt>
                  <c:pt idx="1">
                    <c:v>Truck</c:v>
                  </c:pt>
                </c:lvl>
                <c:lvl>
                  <c:pt idx="0">
                    <c:v>Las Vegas</c:v>
                  </c:pt>
                  <c:pt idx="1">
                    <c:v>Wyoming</c:v>
                  </c:pt>
                </c:lvl>
                <c:lvl>
                  <c:pt idx="0">
                    <c:v>18-Jul</c:v>
                  </c:pt>
                  <c:pt idx="1">
                    <c:v>24-Jul</c:v>
                  </c:pt>
                </c:lvl>
              </c:multiLvlStrCache>
            </c:multiLvlStrRef>
          </c:cat>
          <c:val>
            <c:numRef>
              <c:f>'Transportation Cost Analysis'!$D$2:$D$3</c:f>
              <c:numCache>
                <c:formatCode>General</c:formatCode>
                <c:ptCount val="2"/>
                <c:pt idx="0">
                  <c:v>1500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A-4711-A371-2BC45986E7FE}"/>
            </c:ext>
          </c:extLst>
        </c:ser>
        <c:ser>
          <c:idx val="1"/>
          <c:order val="1"/>
          <c:tx>
            <c:strRef>
              <c:f>'Transportation Cost Analysis'!$E$1</c:f>
              <c:strCache>
                <c:ptCount val="1"/>
                <c:pt idx="0">
                  <c:v>Fuel Surcharges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'Transportation Cost Analysis'!$A$2:$C$3</c:f>
              <c:multiLvlStrCache>
                <c:ptCount val="2"/>
                <c:lvl>
                  <c:pt idx="0">
                    <c:v>Air</c:v>
                  </c:pt>
                  <c:pt idx="1">
                    <c:v>Truck</c:v>
                  </c:pt>
                </c:lvl>
                <c:lvl>
                  <c:pt idx="0">
                    <c:v>Las Vegas</c:v>
                  </c:pt>
                  <c:pt idx="1">
                    <c:v>Wyoming</c:v>
                  </c:pt>
                </c:lvl>
                <c:lvl>
                  <c:pt idx="0">
                    <c:v>18-Jul</c:v>
                  </c:pt>
                  <c:pt idx="1">
                    <c:v>24-Jul</c:v>
                  </c:pt>
                </c:lvl>
              </c:multiLvlStrCache>
            </c:multiLvlStrRef>
          </c:cat>
          <c:val>
            <c:numRef>
              <c:f>'Transportation Cost Analysis'!$E$2:$E$3</c:f>
              <c:numCache>
                <c:formatCode>General</c:formatCode>
                <c:ptCount val="2"/>
                <c:pt idx="0">
                  <c:v>300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A-4711-A371-2BC45986E7FE}"/>
            </c:ext>
          </c:extLst>
        </c:ser>
        <c:ser>
          <c:idx val="2"/>
          <c:order val="2"/>
          <c:tx>
            <c:strRef>
              <c:f>'Transportation Cost Analysis'!$F$1</c:f>
              <c:strCache>
                <c:ptCount val="1"/>
                <c:pt idx="0">
                  <c:v>TOTAL FREIGHT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'Transportation Cost Analysis'!$A$2:$C$3</c:f>
              <c:multiLvlStrCache>
                <c:ptCount val="2"/>
                <c:lvl>
                  <c:pt idx="0">
                    <c:v>Air</c:v>
                  </c:pt>
                  <c:pt idx="1">
                    <c:v>Truck</c:v>
                  </c:pt>
                </c:lvl>
                <c:lvl>
                  <c:pt idx="0">
                    <c:v>Las Vegas</c:v>
                  </c:pt>
                  <c:pt idx="1">
                    <c:v>Wyoming</c:v>
                  </c:pt>
                </c:lvl>
                <c:lvl>
                  <c:pt idx="0">
                    <c:v>18-Jul</c:v>
                  </c:pt>
                  <c:pt idx="1">
                    <c:v>24-Jul</c:v>
                  </c:pt>
                </c:lvl>
              </c:multiLvlStrCache>
            </c:multiLvlStrRef>
          </c:cat>
          <c:val>
            <c:numRef>
              <c:f>'Transportation Cost Analysis'!$F$2:$F$3</c:f>
              <c:numCache>
                <c:formatCode>General</c:formatCode>
                <c:ptCount val="2"/>
                <c:pt idx="0">
                  <c:v>1800</c:v>
                </c:pt>
                <c:pt idx="1">
                  <c:v>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A-4711-A371-2BC45986E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505200"/>
        <c:axId val="571504120"/>
      </c:barChart>
      <c:catAx>
        <c:axId val="5715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04120"/>
        <c:crosses val="autoZero"/>
        <c:auto val="1"/>
        <c:lblAlgn val="ctr"/>
        <c:lblOffset val="100"/>
        <c:noMultiLvlLbl val="0"/>
      </c:catAx>
      <c:valAx>
        <c:axId val="57150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0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'Demand Forecast Dashboard'!$A$1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'Demand Forecast Dashboard'!$A$2:$A$11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8-4135-8463-ECB2BEFB873C}"/>
            </c:ext>
          </c:extLst>
        </c:ser>
        <c:ser>
          <c:idx val="1"/>
          <c:order val="1"/>
          <c:tx>
            <c:strRef>
              <c:f>'Demand Forecast Dashboard'!$B$1</c:f>
              <c:strCache>
                <c:ptCount val="1"/>
                <c:pt idx="0">
                  <c:v>Sales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'Demand Forecast Dashboard'!$B$2:$B$11</c:f>
              <c:numCache>
                <c:formatCode>General</c:formatCode>
                <c:ptCount val="10"/>
                <c:pt idx="0">
                  <c:v>500</c:v>
                </c:pt>
                <c:pt idx="1">
                  <c:v>535</c:v>
                </c:pt>
                <c:pt idx="2">
                  <c:v>580</c:v>
                </c:pt>
                <c:pt idx="3">
                  <c:v>570</c:v>
                </c:pt>
                <c:pt idx="4">
                  <c:v>630</c:v>
                </c:pt>
                <c:pt idx="5">
                  <c:v>700</c:v>
                </c:pt>
                <c:pt idx="6" formatCode="0">
                  <c:v>713.33333333333337</c:v>
                </c:pt>
                <c:pt idx="7" formatCode="0">
                  <c:v>752.55555555555566</c:v>
                </c:pt>
                <c:pt idx="8" formatCode="0">
                  <c:v>793.92592592592609</c:v>
                </c:pt>
                <c:pt idx="9" formatCode="0">
                  <c:v>843.36543209876572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8-4135-8463-ECB2BEFB8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232312"/>
        <c:axId val="564228352"/>
      </c:lineChart>
      <c:catAx>
        <c:axId val="564232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28352"/>
        <c:crosses val="autoZero"/>
        <c:auto val="1"/>
        <c:lblAlgn val="ctr"/>
        <c:lblOffset val="100"/>
        <c:noMultiLvlLbl val="0"/>
      </c:catAx>
      <c:valAx>
        <c:axId val="5642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3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908050</xdr:colOff>
      <xdr:row>3</xdr:row>
      <xdr:rowOff>12700</xdr:rowOff>
    </xdr:from>
    <xdr:to>
      <xdr:col>8</xdr:col>
      <xdr:colOff>412750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D8174-E341-DCCA-AD71-642031502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3</xdr:row>
      <xdr:rowOff>12700</xdr:rowOff>
    </xdr:from>
    <xdr:to>
      <xdr:col>10</xdr:col>
      <xdr:colOff>273050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8CE3E-F33B-30A2-90AA-53896B6AF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0B46-17B1-4750-A96E-7E144458467B}">
  <dimension ref="A1:F3"/>
  <sheetViews>
    <sheetView showGridLines="0" workbookViewId="0">
      <selection activeCell="G5" sqref="G5"/>
    </sheetView>
  </sheetViews>
  <sheetFormatPr defaultRowHeight="14.5" x14ac:dyDescent="0.35"/>
  <cols>
    <col min="1" max="1" width="7.6328125" bestFit="1" customWidth="1"/>
    <col min="2" max="2" width="6.54296875" bestFit="1" customWidth="1"/>
    <col min="3" max="3" width="8.453125" bestFit="1" customWidth="1"/>
    <col min="4" max="4" width="15.453125" bestFit="1" customWidth="1"/>
    <col min="5" max="5" width="17.81640625" bestFit="1" customWidth="1"/>
    <col min="6" max="6" width="12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s="2">
        <v>46217</v>
      </c>
      <c r="E2" s="2">
        <v>46221</v>
      </c>
      <c r="F2">
        <f>IF(E2&gt;D2, E2-D2, 0)</f>
        <v>4</v>
      </c>
    </row>
    <row r="3" spans="1:6" x14ac:dyDescent="0.35">
      <c r="A3" t="s">
        <v>9</v>
      </c>
      <c r="B3" t="s">
        <v>10</v>
      </c>
      <c r="C3" t="s">
        <v>11</v>
      </c>
      <c r="D3" s="2">
        <v>46098</v>
      </c>
      <c r="F3">
        <f ca="1">IF(AND(TODAY()&gt;D3, C3&lt;&gt;"Delivered"), TODAY()-D3, 0)</f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1696-F08D-45D4-AA87-A5E31B73E004}">
  <dimension ref="A1:D2"/>
  <sheetViews>
    <sheetView workbookViewId="0">
      <selection activeCell="F4" sqref="F4"/>
    </sheetView>
  </sheetViews>
  <sheetFormatPr defaultRowHeight="14.5" x14ac:dyDescent="0.35"/>
  <cols>
    <col min="1" max="1" width="5.54296875" bestFit="1" customWidth="1"/>
    <col min="2" max="2" width="17.08984375" bestFit="1" customWidth="1"/>
    <col min="3" max="3" width="12.1796875" bestFit="1" customWidth="1"/>
    <col min="4" max="4" width="18" bestFit="1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5">
      <c r="A2" s="2">
        <v>46220</v>
      </c>
      <c r="B2">
        <v>986</v>
      </c>
      <c r="C2">
        <v>5</v>
      </c>
      <c r="D2" s="3">
        <f>(B2-C2)/B2</f>
        <v>0.99492900608519275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F2F2-04F2-4AED-A924-369842D3AE72}">
  <dimension ref="A1:F3"/>
  <sheetViews>
    <sheetView workbookViewId="0">
      <selection activeCell="J12" sqref="J12"/>
    </sheetView>
  </sheetViews>
  <sheetFormatPr defaultRowHeight="14.5" x14ac:dyDescent="0.35"/>
  <cols>
    <col min="1" max="1" width="5.54296875" bestFit="1" customWidth="1"/>
    <col min="2" max="2" width="10.54296875" bestFit="1" customWidth="1"/>
    <col min="3" max="3" width="13.26953125" bestFit="1" customWidth="1"/>
    <col min="4" max="4" width="9" bestFit="1" customWidth="1"/>
    <col min="5" max="5" width="14.26953125" bestFit="1" customWidth="1"/>
    <col min="6" max="6" width="18.54296875" bestFit="1" customWidth="1"/>
  </cols>
  <sheetData>
    <row r="1" spans="1:6" x14ac:dyDescent="0.35">
      <c r="A1" s="1" t="s">
        <v>12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5">
      <c r="A2" s="2">
        <v>46221</v>
      </c>
      <c r="B2" t="s">
        <v>21</v>
      </c>
      <c r="C2" t="s">
        <v>22</v>
      </c>
      <c r="D2">
        <v>1500</v>
      </c>
      <c r="E2">
        <v>300</v>
      </c>
      <c r="F2">
        <f>D2+E2</f>
        <v>1800</v>
      </c>
    </row>
    <row r="3" spans="1:6" x14ac:dyDescent="0.35">
      <c r="A3" s="2">
        <v>46227</v>
      </c>
      <c r="B3" t="s">
        <v>23</v>
      </c>
      <c r="C3" t="s">
        <v>24</v>
      </c>
      <c r="D3">
        <v>500</v>
      </c>
      <c r="E3">
        <v>75</v>
      </c>
      <c r="F3">
        <f>D3+E3</f>
        <v>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F888-A61B-40BC-8052-1FB093CB46FA}">
  <dimension ref="A1:E2"/>
  <sheetViews>
    <sheetView workbookViewId="0">
      <selection activeCell="E6" sqref="E6"/>
    </sheetView>
  </sheetViews>
  <sheetFormatPr defaultRowHeight="14.5" x14ac:dyDescent="0.35"/>
  <cols>
    <col min="1" max="1" width="29.453125" bestFit="1" customWidth="1"/>
    <col min="2" max="2" width="12.453125" bestFit="1" customWidth="1"/>
    <col min="3" max="3" width="13.90625" bestFit="1" customWidth="1"/>
    <col min="4" max="4" width="12.453125" bestFit="1" customWidth="1"/>
    <col min="5" max="5" width="15.26953125" bestFit="1" customWidth="1"/>
  </cols>
  <sheetData>
    <row r="1" spans="1:5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5">
      <c r="A2" t="s">
        <v>30</v>
      </c>
      <c r="B2">
        <v>1000</v>
      </c>
      <c r="C2">
        <v>677</v>
      </c>
      <c r="D2" s="3">
        <f>C2/B2</f>
        <v>0.67700000000000005</v>
      </c>
      <c r="E2" t="str">
        <f>IF(D2&gt;=0.95, "Grade A", IF(D2&gt;=0.85, "Grade B", "Grade C"))</f>
        <v>Grade 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4702-AE4D-4670-9ED1-E79AF652BFBB}">
  <dimension ref="A1:B11"/>
  <sheetViews>
    <sheetView tabSelected="1" workbookViewId="0">
      <selection activeCell="M12" sqref="M12"/>
    </sheetView>
  </sheetViews>
  <sheetFormatPr defaultRowHeight="14.5" x14ac:dyDescent="0.35"/>
  <cols>
    <col min="2" max="2" width="12.08984375" bestFit="1" customWidth="1"/>
  </cols>
  <sheetData>
    <row r="1" spans="1:2" x14ac:dyDescent="0.35">
      <c r="A1" s="1" t="s">
        <v>31</v>
      </c>
      <c r="B1" s="1" t="s">
        <v>32</v>
      </c>
    </row>
    <row r="2" spans="1:2" x14ac:dyDescent="0.35">
      <c r="A2">
        <v>1</v>
      </c>
      <c r="B2">
        <v>500</v>
      </c>
    </row>
    <row r="3" spans="1:2" x14ac:dyDescent="0.35">
      <c r="A3">
        <v>2</v>
      </c>
      <c r="B3">
        <v>535</v>
      </c>
    </row>
    <row r="4" spans="1:2" x14ac:dyDescent="0.35">
      <c r="A4">
        <v>3</v>
      </c>
      <c r="B4">
        <v>580</v>
      </c>
    </row>
    <row r="5" spans="1:2" x14ac:dyDescent="0.35">
      <c r="A5">
        <v>4</v>
      </c>
      <c r="B5">
        <v>570</v>
      </c>
    </row>
    <row r="6" spans="1:2" x14ac:dyDescent="0.35">
      <c r="A6">
        <v>5</v>
      </c>
      <c r="B6">
        <v>630</v>
      </c>
    </row>
    <row r="7" spans="1:2" x14ac:dyDescent="0.35">
      <c r="A7">
        <v>6</v>
      </c>
      <c r="B7">
        <v>700</v>
      </c>
    </row>
    <row r="8" spans="1:2" x14ac:dyDescent="0.35">
      <c r="A8">
        <v>7</v>
      </c>
      <c r="B8" s="4" cm="1">
        <f t="array" ref="B8">TREND(B2:B7, A2:A7, A8)</f>
        <v>713.33333333333337</v>
      </c>
    </row>
    <row r="9" spans="1:2" x14ac:dyDescent="0.35">
      <c r="A9">
        <v>8</v>
      </c>
      <c r="B9" s="4" cm="1">
        <f t="array" ref="B9">TREND(B3:B8, A3:A8, A9)</f>
        <v>752.55555555555566</v>
      </c>
    </row>
    <row r="10" spans="1:2" x14ac:dyDescent="0.35">
      <c r="A10">
        <v>9</v>
      </c>
      <c r="B10" s="4" cm="1">
        <f t="array" ref="B10">TREND(B4:B9, A4:A9, A10)</f>
        <v>793.92592592592609</v>
      </c>
    </row>
    <row r="11" spans="1:2" x14ac:dyDescent="0.35">
      <c r="A11">
        <v>10</v>
      </c>
      <c r="B11" s="4" cm="1">
        <f t="array" ref="B11">TREND(B5:B10, A5:A10, A11)</f>
        <v>843.36543209876572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 Tracking Dashboard</vt:lpstr>
      <vt:lpstr>Warehouse KPI Dashboard</vt:lpstr>
      <vt:lpstr>Transportation Cost Analysis</vt:lpstr>
      <vt:lpstr>Vendor Performance Dashboard</vt:lpstr>
      <vt:lpstr>Demand Forecast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Peters</dc:creator>
  <cp:lastModifiedBy>Jason Peters</cp:lastModifiedBy>
  <dcterms:created xsi:type="dcterms:W3CDTF">2026-07-16T18:44:12Z</dcterms:created>
  <dcterms:modified xsi:type="dcterms:W3CDTF">2026-07-16T19:32:33Z</dcterms:modified>
</cp:coreProperties>
</file>