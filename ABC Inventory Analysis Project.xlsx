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48acb1371e2bb1/Documents/"/>
    </mc:Choice>
  </mc:AlternateContent>
  <xr:revisionPtr revIDLastSave="39" documentId="8_{5A1ACB5D-6816-44C2-BB8C-FC40DEDCAA08}" xr6:coauthVersionLast="47" xr6:coauthVersionMax="47" xr10:uidLastSave="{FB4A1FC3-B377-400C-B31C-110171E19ED3}"/>
  <bookViews>
    <workbookView xWindow="-110" yWindow="-110" windowWidth="19420" windowHeight="10660" activeTab="1" xr2:uid="{0EA01048-6280-462F-9EE3-91868AF90662}"/>
  </bookViews>
  <sheets>
    <sheet name="ABC Inventory Analysis" sheetId="1" r:id="rId1"/>
    <sheet name="Advanced Safety 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1"/>
  <c r="G4" i="1"/>
  <c r="G5" i="1"/>
  <c r="G2" i="1"/>
  <c r="F4" i="1"/>
  <c r="F5" i="1" s="1"/>
  <c r="F3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<sst xmlns="http://schemas.openxmlformats.org/spreadsheetml/2006/main" count="24" uniqueCount="19">
  <si>
    <t>Item ID</t>
  </si>
  <si>
    <t>Product Name</t>
  </si>
  <si>
    <t>Annual Demand</t>
  </si>
  <si>
    <t>Unit Cost</t>
  </si>
  <si>
    <t>Annual Usage Value</t>
  </si>
  <si>
    <t>Cumulative % Value</t>
  </si>
  <si>
    <t>ABC Class</t>
  </si>
  <si>
    <t>SKU-01</t>
  </si>
  <si>
    <t>SKU-02</t>
  </si>
  <si>
    <t>SKU-03</t>
  </si>
  <si>
    <t>SKU-04</t>
  </si>
  <si>
    <t>Item Name</t>
  </si>
  <si>
    <t>Max Daily Demand</t>
  </si>
  <si>
    <t>Max Lead Time (Days)</t>
  </si>
  <si>
    <t>Avg Daily Demand</t>
  </si>
  <si>
    <t>Avg Lead Time (Days)</t>
  </si>
  <si>
    <t>SAFETY STOCK</t>
  </si>
  <si>
    <t>Espresso</t>
  </si>
  <si>
    <t>Product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</si>
</sst>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E38CD-EE49-4959-8A95-79A2A956E17E}" name="tbl_ABC_Analysis" displayName="tbl_ABC_Analysis" ref="A1:G5" totalsRowShown="0" headerRowDxfId="1" headerRowCellStyle="Percent">
  <autoFilter ref="A1:G5" xr:uid="{19DE38CD-EE49-4959-8A95-79A2A956E17E}"/>
  <tableColumns count="7">
    <tableColumn id="1" xr3:uid="{25C2AB87-3AFD-461B-A274-ADA2A3B4505D}" name="Item ID"/>
    <tableColumn id="2" xr3:uid="{08351E10-F155-4F92-8114-CFCDD9648C27}" name="Product Name"/>
    <tableColumn id="3" xr3:uid="{17A50083-F501-43C9-8948-35B24A755CBC}" name="Annual Demand"/>
    <tableColumn id="4" xr3:uid="{8290220F-653B-4FF0-86AF-BDBB7B5E8D6C}" name="Unit Cost"/>
    <tableColumn id="5" xr3:uid="{010130E8-DD0C-432E-AAFD-1E5EC0290DCC}" name="Annual Usage Value">
      <calculatedColumnFormula>C2*D2</calculatedColumnFormula>
    </tableColumn>
    <tableColumn id="6" xr3:uid="{924B9596-4CEB-407C-AF40-CAB4EBE0D4FA}" name="Cumulative % Value" dataDxfId="2" dataCellStyle="Percent">
      <calculatedColumnFormula>(E2/SUM($E$2:$E$5))+F1</calculatedColumnFormula>
    </tableColumn>
    <tableColumn id="7" xr3:uid="{09CB23C5-1C26-42A5-B18D-23FC4E94208D}" name="ABC Class">
      <calculatedColumnFormula>IF(F2&lt;=0.8,"Class A",IF(F2&lt;=0.95,"Class B","Class C"))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65DB6-110B-4291-AA90-DEF3318FD150}" name="tbl_Safety_Stock" displayName="tbl_Safety_Stock" ref="A1:G2" totalsRowShown="0" headerRowDxfId="0">
  <autoFilter ref="A1:G2" xr:uid="{FE365DB6-110B-4291-AA90-DEF3318FD150}"/>
  <tableColumns count="7">
    <tableColumn id="1" xr3:uid="{90E5532D-E24F-4ED3-B676-98F39724DB7D}" name="Product Name"/>
    <tableColumn id="2" xr3:uid="{B97E4ABB-52B2-40A8-A522-18A355A29A5B}" name="Item Name"/>
    <tableColumn id="3" xr3:uid="{6CD05A15-2D63-4F8A-A9A6-3CBB8DA57227}" name="Max Daily Demand"/>
    <tableColumn id="4" xr3:uid="{A365695E-D2EC-437D-AD11-33110B67E6E6}" name="Max Lead Time (Days)"/>
    <tableColumn id="5" xr3:uid="{63E81DC8-0350-4FCA-9956-A1F233B4C53B}" name="Avg Daily Demand"/>
    <tableColumn id="6" xr3:uid="{2E149B75-F3DF-41A6-86EB-F6C6079F5C17}" name="Avg Lead Time (Days)"/>
    <tableColumn id="7" xr3:uid="{E79AABA9-F898-4E03-B06C-456A7405F14C}" name="SAFETY STOCK">
      <calculatedColumnFormula xml:space="preserve"> (C2*D2) - (E2*F2)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A913-B6EB-41AE-BB3B-137A3AFF4689}">
  <dimension ref="A1:G5"/>
  <sheetViews>
    <sheetView showGridLines="0" workbookViewId="0">
      <selection activeCell="E18" sqref="E18"/>
    </sheetView>
  </sheetViews>
  <sheetFormatPr defaultRowHeight="14.5" x14ac:dyDescent="0.35"/>
  <cols>
    <col min="1" max="1" width="8.81640625" customWidth="1"/>
    <col min="2" max="2" width="14.6328125" customWidth="1"/>
    <col min="3" max="3" width="16.1796875" customWidth="1"/>
    <col min="4" max="4" width="10.54296875" customWidth="1"/>
    <col min="5" max="5" width="19.26953125" customWidth="1"/>
    <col min="6" max="6" width="19.54296875" style="2" customWidth="1"/>
    <col min="7" max="7" width="11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5">
      <c r="A2" t="s">
        <v>7</v>
      </c>
      <c r="B2" t="s">
        <v>18</v>
      </c>
      <c r="C2">
        <v>1200</v>
      </c>
      <c r="D2">
        <v>800</v>
      </c>
      <c r="E2">
        <f>C2*D2</f>
        <v>960000</v>
      </c>
      <c r="F2" s="2">
        <f>E2/SUM($E$2:$E$5)</f>
        <v>0.76311605723370435</v>
      </c>
      <c r="G2" t="str">
        <f>IF(F2&lt;=0.8,"Class A",IF(F2&lt;=0.95,"Class B","Class C"))</f>
        <v>Class A</v>
      </c>
    </row>
    <row r="3" spans="1:7" x14ac:dyDescent="0.35">
      <c r="A3" t="s">
        <v>8</v>
      </c>
      <c r="B3" t="s">
        <v>18</v>
      </c>
      <c r="C3">
        <v>15000</v>
      </c>
      <c r="D3">
        <v>10</v>
      </c>
      <c r="E3">
        <f t="shared" ref="E3:E5" si="0">C3*D3</f>
        <v>150000</v>
      </c>
      <c r="F3" s="2">
        <f>(E3/SUM($E$2:$E$5))+F2</f>
        <v>0.88235294117647067</v>
      </c>
      <c r="G3" t="str">
        <f t="shared" ref="G3:G5" si="1">IF(F3&lt;=0.8,"Class A",IF(F3&lt;=0.95,"Class B","Class C"))</f>
        <v>Class B</v>
      </c>
    </row>
    <row r="4" spans="1:7" x14ac:dyDescent="0.35">
      <c r="A4" t="s">
        <v>9</v>
      </c>
      <c r="B4" t="s">
        <v>18</v>
      </c>
      <c r="C4">
        <v>25000</v>
      </c>
      <c r="D4">
        <v>4</v>
      </c>
      <c r="E4">
        <f t="shared" si="0"/>
        <v>100000</v>
      </c>
      <c r="F4" s="2">
        <f t="shared" ref="F4:F5" si="2">(E4/SUM($E$2:$E$5))+F3</f>
        <v>0.96184419713831493</v>
      </c>
      <c r="G4" t="str">
        <f t="shared" si="1"/>
        <v>Class C</v>
      </c>
    </row>
    <row r="5" spans="1:7" x14ac:dyDescent="0.35">
      <c r="A5" t="s">
        <v>10</v>
      </c>
      <c r="B5" t="s">
        <v>18</v>
      </c>
      <c r="C5">
        <v>400</v>
      </c>
      <c r="D5">
        <v>120</v>
      </c>
      <c r="E5">
        <f t="shared" si="0"/>
        <v>48000</v>
      </c>
      <c r="F5" s="2">
        <f t="shared" si="2"/>
        <v>1.0000000000000002</v>
      </c>
      <c r="G5" t="str">
        <f t="shared" si="1"/>
        <v>Class 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E1EF-DD35-4BA1-9F15-93A2790AD637}">
  <dimension ref="A1:G2"/>
  <sheetViews>
    <sheetView showGridLines="0" tabSelected="1" workbookViewId="0">
      <selection sqref="A1:G2"/>
    </sheetView>
  </sheetViews>
  <sheetFormatPr defaultRowHeight="14.5" x14ac:dyDescent="0.35"/>
  <cols>
    <col min="1" max="1" width="14.6328125" customWidth="1"/>
    <col min="2" max="2" width="11.90625" customWidth="1"/>
    <col min="3" max="3" width="18.26953125" customWidth="1"/>
    <col min="4" max="4" width="20.7265625" customWidth="1"/>
    <col min="5" max="5" width="17.81640625" customWidth="1"/>
    <col min="6" max="6" width="20.26953125" customWidth="1"/>
    <col min="7" max="7" width="15" customWidth="1"/>
  </cols>
  <sheetData>
    <row r="1" spans="1:7" x14ac:dyDescent="0.35">
      <c r="A1" s="1" t="s">
        <v>1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18</v>
      </c>
      <c r="B2" t="s">
        <v>17</v>
      </c>
      <c r="C2">
        <v>7</v>
      </c>
      <c r="D2">
        <v>8</v>
      </c>
      <c r="E2">
        <v>4</v>
      </c>
      <c r="F2">
        <v>5</v>
      </c>
      <c r="G2">
        <f xml:space="preserve"> (C2*D2) - (E2*F2)</f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ABC Inventory Analysis</vt:lpstr>
      <vt:lpstr>Advanced Safety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Peters</dc:creator>
  <cp:lastModifiedBy>Jason Peters</cp:lastModifiedBy>
  <dcterms:created xsi:type="dcterms:W3CDTF">2026-07-16T17:37:46Z</dcterms:created>
  <dcterms:modified xsi:type="dcterms:W3CDTF">2026-07-21T15:16:48Z</dcterms:modified>
</cp:coreProperties>
</file>