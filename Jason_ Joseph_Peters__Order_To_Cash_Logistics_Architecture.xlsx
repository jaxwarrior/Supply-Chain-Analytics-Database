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48acb1371e2bb1/"/>
    </mc:Choice>
  </mc:AlternateContent>
  <xr:revisionPtr revIDLastSave="0" documentId="8_{CB604CB9-0F38-4FBC-9619-EC8CC8327EFF}" xr6:coauthVersionLast="47" xr6:coauthVersionMax="47" xr10:uidLastSave="{00000000-0000-0000-0000-000000000000}"/>
  <bookViews>
    <workbookView xWindow="-110" yWindow="-110" windowWidth="19420" windowHeight="10660" activeTab="3" xr2:uid="{9F269D26-4E0D-486F-8984-A2E20E29C48A}"/>
  </bookViews>
  <sheets>
    <sheet name="Readme" sheetId="4" r:id="rId1"/>
    <sheet name="Customers" sheetId="1" r:id="rId2"/>
    <sheet name="Inventory" sheetId="2" r:id="rId3"/>
    <sheet name="Order Track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F2" i="3"/>
  <c r="G2" i="3" s="1"/>
  <c r="F5" i="3"/>
</calcChain>
</file>

<file path=xl/sharedStrings.xml><?xml version="1.0" encoding="utf-8"?>
<sst xmlns="http://schemas.openxmlformats.org/spreadsheetml/2006/main" count="29" uniqueCount="24">
  <si>
    <t>Customer ID</t>
  </si>
  <si>
    <t>Customer Name</t>
  </si>
  <si>
    <t>Credit Limit</t>
  </si>
  <si>
    <t>C001</t>
  </si>
  <si>
    <t>Acme Corp</t>
  </si>
  <si>
    <t>C002</t>
  </si>
  <si>
    <t>Beta Logistics</t>
  </si>
  <si>
    <t>SKU</t>
  </si>
  <si>
    <t>Item Name</t>
  </si>
  <si>
    <t>Price</t>
  </si>
  <si>
    <t>Stock Available</t>
  </si>
  <si>
    <t>S001</t>
  </si>
  <si>
    <t>Eco Boxes</t>
  </si>
  <si>
    <t>S002</t>
  </si>
  <si>
    <t>Pallet Wraps</t>
  </si>
  <si>
    <t>Order ID</t>
  </si>
  <si>
    <t>Quantity Ordered</t>
  </si>
  <si>
    <t>Order Value</t>
  </si>
  <si>
    <t>Credit Check</t>
  </si>
  <si>
    <t>Stock Check</t>
  </si>
  <si>
    <t>Project Name: Order-to-Cash (O2C) Automated Logistics Simulator</t>
  </si>
  <si>
    <t>Objective: Built a relational database prototype to automate inventory management and mitigate corporate credit risk.</t>
  </si>
  <si>
    <t>Key Skills Demonstrated: Advanced XLOOKUP, Logical Gates such as IF and IFERROR and Database Architecture.</t>
  </si>
  <si>
    <t>Contact Info: Jason Joseph Peters, jasonjaypeters877@gmail.com.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</si>
</sst>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2C8F-A921-4ADA-A427-B6D42A4A78F2}">
  <dimension ref="A1:F4"/>
  <sheetViews>
    <sheetView workbookViewId="0">
      <selection activeCell="G12" sqref="G12"/>
    </sheetView>
  </sheetViews>
  <sheetFormatPr defaultRowHeight="14"/>
  <sheetData>
    <row r="1" spans="1:6">
      <c r="A1" s="1" t="s">
        <v>20</v>
      </c>
      <c r="F1" s="1"/>
    </row>
    <row r="2" spans="1:6">
      <c r="A2" s="1" t="s">
        <v>21</v>
      </c>
    </row>
    <row r="3" spans="1:6">
      <c r="A3" s="1" t="s">
        <v>22</v>
      </c>
    </row>
    <row r="4" spans="1:6">
      <c r="A4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4DF0-0C85-4674-BD8D-19095B22E931}">
  <dimension ref="A1:C3"/>
  <sheetViews>
    <sheetView workbookViewId="0">
      <selection activeCell="D6" sqref="D6"/>
    </sheetView>
  </sheetViews>
  <sheetFormatPr defaultRowHeight="14"/>
  <cols>
    <col min="1" max="1" width="10.4140625" bestFit="1" customWidth="1"/>
    <col min="2" max="2" width="13.33203125" bestFit="1" customWidth="1"/>
    <col min="3" max="3" width="9.9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10000</v>
      </c>
    </row>
    <row r="3" spans="1:3">
      <c r="A3" t="s">
        <v>5</v>
      </c>
      <c r="B3" t="s">
        <v>6</v>
      </c>
      <c r="C3">
        <v>2000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5B00-33BC-4B73-9D54-B55F63637405}">
  <dimension ref="A1:D3"/>
  <sheetViews>
    <sheetView workbookViewId="0">
      <selection activeCell="G3" sqref="G3"/>
    </sheetView>
  </sheetViews>
  <sheetFormatPr defaultRowHeight="14"/>
  <cols>
    <col min="1" max="1" width="4.4140625" bestFit="1" customWidth="1"/>
    <col min="2" max="2" width="10.25" bestFit="1" customWidth="1"/>
    <col min="3" max="3" width="4.6640625" bestFit="1" customWidth="1"/>
    <col min="4" max="4" width="12.6640625" bestFit="1" customWidth="1"/>
  </cols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12</v>
      </c>
      <c r="C2">
        <v>50</v>
      </c>
      <c r="D2">
        <v>100</v>
      </c>
    </row>
    <row r="3" spans="1:4">
      <c r="A3" t="s">
        <v>13</v>
      </c>
      <c r="B3" t="s">
        <v>14</v>
      </c>
      <c r="C3">
        <v>120</v>
      </c>
      <c r="D3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CBEA2-6531-4D9D-8A60-2DD34BDFF3F0}">
  <dimension ref="A1:H5"/>
  <sheetViews>
    <sheetView showGridLines="0" tabSelected="1" workbookViewId="0">
      <selection activeCell="K12" sqref="K12"/>
    </sheetView>
  </sheetViews>
  <sheetFormatPr defaultRowHeight="14"/>
  <cols>
    <col min="1" max="1" width="7.1640625" bestFit="1" customWidth="1"/>
    <col min="2" max="2" width="10.4140625" bestFit="1" customWidth="1"/>
    <col min="3" max="3" width="13.33203125" bestFit="1" customWidth="1"/>
    <col min="4" max="4" width="4.4140625" bestFit="1" customWidth="1"/>
    <col min="5" max="5" width="14.08203125" bestFit="1" customWidth="1"/>
    <col min="6" max="6" width="11.25" bestFit="1" customWidth="1"/>
    <col min="7" max="7" width="10.9140625" bestFit="1" customWidth="1"/>
    <col min="8" max="8" width="10.5" bestFit="1" customWidth="1"/>
  </cols>
  <sheetData>
    <row r="1" spans="1:8">
      <c r="A1" s="1" t="s">
        <v>15</v>
      </c>
      <c r="B1" s="1" t="s">
        <v>0</v>
      </c>
      <c r="C1" s="1" t="s">
        <v>1</v>
      </c>
      <c r="D1" s="1" t="s">
        <v>7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s="2">
        <v>1001</v>
      </c>
      <c r="B2" t="s">
        <v>5</v>
      </c>
      <c r="D2" t="s">
        <v>13</v>
      </c>
      <c r="E2">
        <v>1</v>
      </c>
      <c r="F2">
        <f>E2 * _xlfn.XLOOKUP(D2, Inventory!A:A, Inventory!C:C, 0)</f>
        <v>120</v>
      </c>
      <c r="G2" t="str">
        <f>IF(F2 &gt; _xlfn.XLOOKUP(B2, Customers!A:A, Customers!C:C, 0), "BLOCKED: Exceeds Credit", "Approved")</f>
        <v>Approved</v>
      </c>
      <c r="H2" t="str">
        <f>IF(E2 &gt; _xlfn.XLOOKUP(D2, Inventory!A:A, Inventory!D:D, 0), "BACKORDER: Shortage", "In Stock")</f>
        <v>In Stock</v>
      </c>
    </row>
    <row r="5" spans="1:8">
      <c r="F5" t="str">
        <f>_xlfn.XLOOKUP(B2, Customers!A:A, Customers!B:B, "Unknown Customer")</f>
        <v>Beta Logistics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Customers</vt:lpstr>
      <vt:lpstr>Inventory</vt:lpstr>
      <vt:lpstr>Order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PETERS</dc:creator>
  <cp:lastModifiedBy>Jason Peters</cp:lastModifiedBy>
  <dcterms:created xsi:type="dcterms:W3CDTF">2026-07-15T11:34:00Z</dcterms:created>
  <dcterms:modified xsi:type="dcterms:W3CDTF">2026-07-15T13:05:44Z</dcterms:modified>
</cp:coreProperties>
</file>